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Tool Invent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<sst xmlns="http://schemas.openxmlformats.org/spreadsheetml/2006/main" count="169" uniqueCount="168">
  <si>
    <t xml:space="preserve">Fleet Shift-Rig Tool Inventory &amp; Estimated Valuation</t>
  </si>
  <si>
    <t xml:space="preserve">Compiled from 11 apparatus shift rig check sheets (Brushtruck 62, Engine 60/61/62/63, Medic 62, Snorkel 61, Squad 61, Tower 62, Utility 61/62). Pricing researched via web search, July 2026.</t>
  </si>
  <si>
    <t xml:space="preserve">Tool</t>
  </si>
  <si>
    <t xml:space="preserve">Qty (Fleet Total)</t>
  </si>
  <si>
    <t xml:space="preserve">Unit Price</t>
  </si>
  <si>
    <t xml:space="preserve">Line Value</t>
  </si>
  <si>
    <t xml:space="preserve">Source</t>
  </si>
  <si>
    <t xml:space="preserve">Notes</t>
  </si>
  <si>
    <t xml:space="preserve">Pike Pole (assorted 5'-12", incl. closet pikes)</t>
  </si>
  <si>
    <t xml:space="preserve">Fire Hooks Unlimited National Pike Pole - Columbus Supply</t>
  </si>
  <si>
    <t xml:space="preserve">New York Hook (roof hook, 6'-8')</t>
  </si>
  <si>
    <t xml:space="preserve">Fire Hooks Unlimited NY Roof Hook - Fire-End &amp; Croker</t>
  </si>
  <si>
    <t xml:space="preserve">Halligan Bar</t>
  </si>
  <si>
    <t xml:space="preserve">Fire Hooks Pro-Bar 30" Halligan - Fire-End &amp; Croker</t>
  </si>
  <si>
    <t xml:space="preserve">Flat Head Axe (8 lb)</t>
  </si>
  <si>
    <t xml:space="preserve">Fire Hooks Unlimited 8lb Fiberglass Flat Head Axe - Public Safety Store</t>
  </si>
  <si>
    <t xml:space="preserve">Pick Head Axe / Pick Axe</t>
  </si>
  <si>
    <t xml:space="preserve">Council Fireman's Pick Axe - National Firefighter</t>
  </si>
  <si>
    <t xml:space="preserve">Sledge Hammer (8-10 lb, fire service)</t>
  </si>
  <si>
    <t xml:space="preserve">Council Tool / Fire Hooks Unlimited - The Fire Store</t>
  </si>
  <si>
    <t xml:space="preserve">Bolt Cutter (36", fire/rescue grade)</t>
  </si>
  <si>
    <t xml:space="preserve">Fire Hooks Unlimited Bolt Cutter - East Coast Rescue Solutions</t>
  </si>
  <si>
    <t xml:space="preserve">K12 Rotary Rescue Saw (gas, saw only)</t>
  </si>
  <si>
    <t xml:space="preserve">Husqvarna/Partner K-12FD Rescue Saw - Team Equipment / The Fire Store</t>
  </si>
  <si>
    <t xml:space="preserve">Drywall Hook</t>
  </si>
  <si>
    <t xml:space="preserve">Fire Hooks Unlimited Drywall Hook - The Fire Store / Johnson's Fire Equipment</t>
  </si>
  <si>
    <t xml:space="preserve">Res-Q-Jack (vehicle stabilization strut system)</t>
  </si>
  <si>
    <t xml:space="preserve">Res-Q-Jack Telescoping Strut System A2780 - Fenton Fire</t>
  </si>
  <si>
    <t xml:space="preserve">Priced as complete 2-strut kit; no standalone single-jack SKU sold</t>
  </si>
  <si>
    <t xml:space="preserve">High Lift Jack / Farm Jack (48"-60")</t>
  </si>
  <si>
    <t xml:space="preserve">Hi-Lift 48" All-Cast Jack HL-484 - Northern Tool</t>
  </si>
  <si>
    <t xml:space="preserve">Generic off-road supplier, not fire-specific</t>
  </si>
  <si>
    <t xml:space="preserve">Scissor Jack (automotive/rescue)</t>
  </si>
  <si>
    <t xml:space="preserve">2-Ton Scissor Jack - O'Reilly Auto Parts</t>
  </si>
  <si>
    <t xml:space="preserve">Generic auto-parts item, not fire-specific</t>
  </si>
  <si>
    <t xml:space="preserve">Extrication Air Bag (mid-size, ~12-20 ton)</t>
  </si>
  <si>
    <t xml:space="preserve">Paratech MaxiForce KPI-12 Lift Bag - NJ state contract list (inflation-adj.)</t>
  </si>
  <si>
    <t xml:space="preserve">Base source dated 2011 list price; no live current-year price found</t>
  </si>
  <si>
    <t xml:space="preserve">Hard Suction Hose Section (12', 5" NST)</t>
  </si>
  <si>
    <t xml:space="preserve">5" PVC Hard Suction Hose - FireHoseDirect / FireHoseSupply.com</t>
  </si>
  <si>
    <t xml:space="preserve">No exact 12' listing; scaled from 10' section pricing</t>
  </si>
  <si>
    <t xml:space="preserve">Brush Paddle (wildland)</t>
  </si>
  <si>
    <t xml:space="preserve">FlameFighter Fire Flapper/Swatter - First Out Rescue</t>
  </si>
  <si>
    <t xml:space="preserve">Treated as equivalent to fire flapper/swatter</t>
  </si>
  <si>
    <t xml:space="preserve">Shovel (fire/rescue, scoop or pointed)</t>
  </si>
  <si>
    <t xml:space="preserve">Fire Hooks Unlimited Scoop Shovel, 46" - The Fire Store</t>
  </si>
  <si>
    <t xml:space="preserve">Backboard (rescue spine board)</t>
  </si>
  <si>
    <t xml:space="preserve">Ferno Millennia / Economy Backboard - EMS suppliers</t>
  </si>
  <si>
    <t xml:space="preserve">General EMS-supply pricing, no single named source</t>
  </si>
  <si>
    <t xml:space="preserve">Utility Bucket (5-gal, tow hooks/chain)</t>
  </si>
  <si>
    <t xml:space="preserve">5-Gal Orange Homer Bucket - Home Depot</t>
  </si>
  <si>
    <t xml:space="preserve">Generic item</t>
  </si>
  <si>
    <t xml:space="preserve">Akron Portable Scene Light</t>
  </si>
  <si>
    <t xml:space="preserve">Akron Brass Revel Scout Portable Scene Light - Akron Brass / IDEX Fire Safety</t>
  </si>
  <si>
    <t xml:space="preserve">Box Light / Portable Flashlight (rechargeable)</t>
  </si>
  <si>
    <t xml:space="preserve">Streamlight Fire Vulcan LED Lantern System - USABlueBook / Fire-End</t>
  </si>
  <si>
    <t xml:space="preserve">Plug-in Work Light (corded, compartment style)</t>
  </si>
  <si>
    <t xml:space="preserve">BLACK+DECKER AC Plug-in LED Work Light - Walmart</t>
  </si>
  <si>
    <t xml:space="preserve">No fire-apparatus-specific corded light found; generic substituted</t>
  </si>
  <si>
    <t xml:space="preserve">Battery-Powered Portable Work Light (LED)</t>
  </si>
  <si>
    <t xml:space="preserve">J Harlen Co. Portable LED Rechargeable Work Light WLED-4MF</t>
  </si>
  <si>
    <t xml:space="preserve">SCBA Air Bottle/Cylinder (spare, 4500psi, 30-min)</t>
  </si>
  <si>
    <t xml:space="preserve">SCBA Sales Co - PRO-LITE 30-Min 4500 PSI Carbon Fiber Cylinder</t>
  </si>
  <si>
    <t xml:space="preserve">SCBA Complete Unit (MSA, no bottle)</t>
  </si>
  <si>
    <t xml:space="preserve">MSA G1 Industrial SCBA (contact-for-pricing; industry estimate)</t>
  </si>
  <si>
    <t xml:space="preserve">No public retail price; representative estimate</t>
  </si>
  <si>
    <t xml:space="preserve">SCBA Facepiece/Mask (replacement, M/L)</t>
  </si>
  <si>
    <t xml:space="preserve">SCBA Sales Co - MSA G1 Mask New</t>
  </si>
  <si>
    <t xml:space="preserve">Spanner Wrench (double-ended, standard)</t>
  </si>
  <si>
    <t xml:space="preserve">Dixon FSW2 Double-Ended Spanner Wrench - HoseWarehouse.com</t>
  </si>
  <si>
    <t xml:space="preserve">Merged category (double-ended/hose/hydrant-bag spanners)</t>
  </si>
  <si>
    <t xml:space="preserve">Hose Reducer/Adaptor (2.5" to 1.75", brass)</t>
  </si>
  <si>
    <t xml:space="preserve">Brass Adapter range - FireHoseSupply.com</t>
  </si>
  <si>
    <t xml:space="preserve">1.75" not a standard NST size; representative brass-adapter price used</t>
  </si>
  <si>
    <t xml:space="preserve">2.5" Hose Connector/Adaptor (NST, brass)</t>
  </si>
  <si>
    <t xml:space="preserve">FireHoseSupply.com 2.5" NST F x M Brass Adapter</t>
  </si>
  <si>
    <t xml:space="preserve">1.75" Hose Connector/Adaptor (NST, brass)</t>
  </si>
  <si>
    <t xml:space="preserve">FireHoseSupply.com 1.5" NST Brass Adapter (actual thread size for 1.75" hose)</t>
  </si>
  <si>
    <t xml:space="preserve">Storz Connector (generic, 2.5"-5")</t>
  </si>
  <si>
    <t xml:space="preserve">FireHoseSupply.com 2" Storz x 2.5" Storz Aluminum Adapter</t>
  </si>
  <si>
    <t xml:space="preserve">Storz-to-Steamer Adaptor</t>
  </si>
  <si>
    <t xml:space="preserve">Kochek/Harrington Storz Hydrant Converters (dealer-priced)</t>
  </si>
  <si>
    <t xml:space="preserve">Dealer pricing only, not published; estimate</t>
  </si>
  <si>
    <t xml:space="preserve">Gated Wye (2.5" to 1.5", ball valve)</t>
  </si>
  <si>
    <t xml:space="preserve">North Ridge Fire Equipment Gated Wye</t>
  </si>
  <si>
    <t xml:space="preserve">Hydrant Wrench / Pipe Wrench (hydrant bag)</t>
  </si>
  <si>
    <t xml:space="preserve">FireHoseSupply.com Fire Hydrant &amp; Hose Spanner Wrench</t>
  </si>
  <si>
    <t xml:space="preserve">Hose Wedge (rubber curb protector)</t>
  </si>
  <si>
    <t xml:space="preserve">Industrial rubber hose/cable protector proxy</t>
  </si>
  <si>
    <t xml:space="preserve">No fire-specific hose wedge pricing found; generic proxy</t>
  </si>
  <si>
    <t xml:space="preserve">Fog Nozzle (1.75" adjustable)</t>
  </si>
  <si>
    <t xml:space="preserve">Akron Brass Maxi-Fog Nozzle line</t>
  </si>
  <si>
    <t xml:space="preserve">Representative price; exact 1.75" SKU not directly confirmed</t>
  </si>
  <si>
    <t xml:space="preserve">1.75" Hose Section, 50' (double jacket)</t>
  </si>
  <si>
    <t xml:space="preserve">FireHoseSupply.com 1.75" Double Jacket Fire Hose, 50ft</t>
  </si>
  <si>
    <t xml:space="preserve">1.75" Preconnected Hose Line w/Fog Nozzle, 200'</t>
  </si>
  <si>
    <t xml:space="preserve">Calculated: 4x 50' sections + 1 fog nozzle</t>
  </si>
  <si>
    <t xml:space="preserve">Derived estimate from hose + nozzle line items</t>
  </si>
  <si>
    <t xml:space="preserve">Extension Ladder (28'-35', 2-section aluminum)</t>
  </si>
  <si>
    <t xml:space="preserve">Duo-Safety Ladder Corp. 2026 Price List, Series 1200-A</t>
  </si>
  <si>
    <t xml:space="preserve">Midpoint of 28ft ($1,757) and 35ft ($2,227)</t>
  </si>
  <si>
    <t xml:space="preserve">Roof Ladder (14'-20', with roof hooks)</t>
  </si>
  <si>
    <t xml:space="preserve">Duo-Safety Ladder Corp. 2026 Price List, Series 875-A</t>
  </si>
  <si>
    <t xml:space="preserve">Midpoint of 16ft ($787) and 20ft ($995)</t>
  </si>
  <si>
    <t xml:space="preserve">Fire Hood (Nomex/PBI flash hood)</t>
  </si>
  <si>
    <t xml:space="preserve">Majestic PAC IX PBI Flash Hood - firefightersafety.com</t>
  </si>
  <si>
    <t xml:space="preserve">Mustang Suit (cold water immersion/flotation)</t>
  </si>
  <si>
    <t xml:space="preserve">Mustang Survival MSD576 Water Rescue Dry Suit</t>
  </si>
  <si>
    <t xml:space="preserve">Midpoint of $1,347-$2,014 range</t>
  </si>
  <si>
    <t xml:space="preserve">Water Rescue Helmet</t>
  </si>
  <si>
    <t xml:space="preserve">H2O Rescue Gear - Shred Ready Rescue Pro Helmet</t>
  </si>
  <si>
    <t xml:space="preserve">Roadway Safety Vest (ANSI Class 2/3 hi-viz)</t>
  </si>
  <si>
    <t xml:space="preserve">ML Kishigo Class 2 Safety Vest - safetygearonline.com</t>
  </si>
  <si>
    <t xml:space="preserve">PFD (Type III/V, fire/rescue rated)</t>
  </si>
  <si>
    <t xml:space="preserve">Stearns SAR Mesh PFD - Columbus Supply</t>
  </si>
  <si>
    <t xml:space="preserve">Portable Radio (fire service, Motorola APX-class)</t>
  </si>
  <si>
    <t xml:space="preserve">Motorola APX 6000-class - RadioReference dealer/insurance valuation</t>
  </si>
  <si>
    <t xml:space="preserve">Estimate; no published dealer list price (quote-based sales)</t>
  </si>
  <si>
    <t xml:space="preserve">Vehicle/Spare Battery (Group 31, heavy duty 12V)</t>
  </si>
  <si>
    <t xml:space="preserve">O'Reilly/AutoZone Group 31 commercial battery</t>
  </si>
  <si>
    <t xml:space="preserve">Generic auto-parts retailer, not fire-specific</t>
  </si>
  <si>
    <t xml:space="preserve">DeWalt 20V MAX 5.0Ah Battery (DCB205)</t>
  </si>
  <si>
    <t xml:space="preserve">Home Depot</t>
  </si>
  <si>
    <t xml:space="preserve">DeWalt 20V Battery Charger (DCB115)</t>
  </si>
  <si>
    <t xml:space="preserve">FastenMSC</t>
  </si>
  <si>
    <t xml:space="preserve">Hurst/Holmatro Extrication Tool Battery Charger</t>
  </si>
  <si>
    <t xml:space="preserve">Holmatro/NJ State Contract Retail Pricing Sheet</t>
  </si>
  <si>
    <t xml:space="preserve">Sheet dated 2011; current pricing likely higher</t>
  </si>
  <si>
    <t xml:space="preserve">Battery-Powered Smoke Ejector/Ventilation Fan</t>
  </si>
  <si>
    <t xml:space="preserve">Super Vac/Hurst battery smoke ejector product line</t>
  </si>
  <si>
    <t xml:space="preserve">No direct unit price published; estimate</t>
  </si>
  <si>
    <t xml:space="preserve">Scene Floodlight (mounted, Whelen Pioneer-class)</t>
  </si>
  <si>
    <t xml:space="preserve">Whelen Pioneer Plus Single-Panel Floodlight - Parr Public Safety</t>
  </si>
  <si>
    <t xml:space="preserve">Scene Spotlight (mounted, Whelen Pioneer-class)</t>
  </si>
  <si>
    <t xml:space="preserve">Whelen Pioneer Plus Single-Panel Spotlight - Sirennet</t>
  </si>
  <si>
    <t xml:space="preserve">No distinct published price; floodlight-tier estimate used</t>
  </si>
  <si>
    <t xml:space="preserve">Traffic Cone (28"-36", reflective)</t>
  </si>
  <si>
    <t xml:space="preserve">Home Depot / Traffic Cones For Less</t>
  </si>
  <si>
    <t xml:space="preserve">Eco Gel Firefighting Foam Bucket (5-gal)</t>
  </si>
  <si>
    <t xml:space="preserve">FireRein Eco-Gel Class A/B Foam - WFR Wholesale Fire &amp; Rescue</t>
  </si>
  <si>
    <t xml:space="preserve">Currency-converted from CAD, gated pricing; approximate</t>
  </si>
  <si>
    <t xml:space="preserve">Utility Rope Bag (150', non-rescue, bagged)</t>
  </si>
  <si>
    <t xml:space="preserve">Fire Safety USA - T95 Rope</t>
  </si>
  <si>
    <t xml:space="preserve">Life Safety Rope Bag (200', rescue-rated, static)</t>
  </si>
  <si>
    <t xml:space="preserve">CMC Rescue Static-Pro Lifeline - Roco Rescue (per-ft extrapolated)</t>
  </si>
  <si>
    <t xml:space="preserve">Water Rescue Throw Bag/Ring Buoy Preserver</t>
  </si>
  <si>
    <t xml:space="preserve">Kemp USA 24" Ring Buoy w/ Reflective Tape</t>
  </si>
  <si>
    <t xml:space="preserve">Horse Collar Flotation Device (water rescue)</t>
  </si>
  <si>
    <t xml:space="preserve">West Marine Jim Buoy Type IV Horseshoe Buoy</t>
  </si>
  <si>
    <t xml:space="preserve">"Horse collar" terminology ambiguous; closest USCG-approved throwable used as proxy</t>
  </si>
  <si>
    <t xml:space="preserve">Chest Waders (fishing/water rescue style)</t>
  </si>
  <si>
    <t xml:space="preserve">Paramount Outdoors Stonefly Breathable Chest Waders</t>
  </si>
  <si>
    <t xml:space="preserve">Generic outdoor/fishing retailer</t>
  </si>
  <si>
    <t xml:space="preserve">Canvas Tarp (heavy duty, ~10x12)</t>
  </si>
  <si>
    <t xml:space="preserve">Mytee Products / Tarp Supply</t>
  </si>
  <si>
    <t xml:space="preserve">Generic industrial tarp retailer</t>
  </si>
  <si>
    <t xml:space="preserve">Umbrella (large/golf, apparatus storage)</t>
  </si>
  <si>
    <t xml:space="preserve">Gonex 72" Golf Umbrella</t>
  </si>
  <si>
    <t xml:space="preserve">Generic general retail</t>
  </si>
  <si>
    <t xml:space="preserve">Road Flare (30-min highway flare)</t>
  </si>
  <si>
    <t xml:space="preserve">Traffic Safety Store, 36-pack case / unit</t>
  </si>
  <si>
    <t xml:space="preserve">Generic traffic safety retailer; case price divided per-unit</t>
  </si>
  <si>
    <t xml:space="preserve">Map Binder (3-ring, response maps)</t>
  </si>
  <si>
    <t xml:space="preserve">Office Depot Heavy Duty 3-Ring Binder</t>
  </si>
  <si>
    <t xml:space="preserve">Generic office supply retailer</t>
  </si>
  <si>
    <t xml:space="preserve">Duct Tape (roll, standard)</t>
  </si>
  <si>
    <t xml:space="preserve">Home Depot - Duck brand</t>
  </si>
  <si>
    <t xml:space="preserve">GRAND TOTAL ESTIMATED VALUE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</si>
</sst>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19</v>
      </c>
      <c r="C5" s="6" t="n">
        <v>115</v>
      </c>
      <c r="D5" s="6" t="n">
        <f aca="false">B5*C5</f>
        <v>2185</v>
      </c>
      <c r="E5" s="7" t="s">
        <v>9</v>
      </c>
      <c r="F5" s="8"/>
    </row>
    <row r="6" customFormat="false" ht="15" hidden="false" customHeight="false" outlineLevel="0" collapsed="false">
      <c r="A6" s="4" t="s">
        <v>10</v>
      </c>
      <c r="B6" s="5" t="n">
        <v>8</v>
      </c>
      <c r="C6" s="6" t="n">
        <v>123</v>
      </c>
      <c r="D6" s="6" t="n">
        <f aca="false">B6*C6</f>
        <v>984</v>
      </c>
      <c r="E6" s="7" t="s">
        <v>11</v>
      </c>
      <c r="F6" s="8"/>
    </row>
    <row r="7" customFormat="false" ht="15" hidden="false" customHeight="false" outlineLevel="0" collapsed="false">
      <c r="A7" s="4" t="s">
        <v>12</v>
      </c>
      <c r="B7" s="5" t="n">
        <v>2</v>
      </c>
      <c r="C7" s="6" t="n">
        <v>303</v>
      </c>
      <c r="D7" s="6" t="n">
        <f aca="false">B7*C7</f>
        <v>606</v>
      </c>
      <c r="E7" s="7" t="s">
        <v>13</v>
      </c>
      <c r="F7" s="8"/>
    </row>
    <row r="8" customFormat="false" ht="15" hidden="false" customHeight="false" outlineLevel="0" collapsed="false">
      <c r="A8" s="4" t="s">
        <v>14</v>
      </c>
      <c r="B8" s="5" t="n">
        <v>2</v>
      </c>
      <c r="C8" s="6" t="n">
        <v>133</v>
      </c>
      <c r="D8" s="6" t="n">
        <f aca="false">B8*C8</f>
        <v>266</v>
      </c>
      <c r="E8" s="7" t="s">
        <v>15</v>
      </c>
      <c r="F8" s="8"/>
    </row>
    <row r="9" customFormat="false" ht="15" hidden="false" customHeight="false" outlineLevel="0" collapsed="false">
      <c r="A9" s="4" t="s">
        <v>16</v>
      </c>
      <c r="B9" s="5" t="n">
        <v>2</v>
      </c>
      <c r="C9" s="6" t="n">
        <v>129</v>
      </c>
      <c r="D9" s="6" t="n">
        <f aca="false">B9*C9</f>
        <v>258</v>
      </c>
      <c r="E9" s="7" t="s">
        <v>17</v>
      </c>
      <c r="F9" s="8"/>
    </row>
    <row r="10" customFormat="false" ht="15" hidden="false" customHeight="false" outlineLevel="0" collapsed="false">
      <c r="A10" s="4" t="s">
        <v>18</v>
      </c>
      <c r="B10" s="5" t="n">
        <v>2</v>
      </c>
      <c r="C10" s="6" t="n">
        <v>72</v>
      </c>
      <c r="D10" s="6" t="n">
        <f aca="false">B10*C10</f>
        <v>144</v>
      </c>
      <c r="E10" s="7" t="s">
        <v>19</v>
      </c>
      <c r="F10" s="8"/>
    </row>
    <row r="11" customFormat="false" ht="15" hidden="false" customHeight="false" outlineLevel="0" collapsed="false">
      <c r="A11" s="4" t="s">
        <v>20</v>
      </c>
      <c r="B11" s="5" t="n">
        <v>2</v>
      </c>
      <c r="C11" s="6" t="n">
        <v>125</v>
      </c>
      <c r="D11" s="6" t="n">
        <f aca="false">B11*C11</f>
        <v>250</v>
      </c>
      <c r="E11" s="7" t="s">
        <v>21</v>
      </c>
      <c r="F11" s="8"/>
    </row>
    <row r="12" customFormat="false" ht="15" hidden="false" customHeight="false" outlineLevel="0" collapsed="false">
      <c r="A12" s="4" t="s">
        <v>22</v>
      </c>
      <c r="B12" s="5" t="n">
        <v>2</v>
      </c>
      <c r="C12" s="6" t="n">
        <v>1995</v>
      </c>
      <c r="D12" s="6" t="n">
        <f aca="false">B12*C12</f>
        <v>3990</v>
      </c>
      <c r="E12" s="7" t="s">
        <v>23</v>
      </c>
      <c r="F12" s="8"/>
    </row>
    <row r="13" customFormat="false" ht="15" hidden="false" customHeight="false" outlineLevel="0" collapsed="false">
      <c r="A13" s="4" t="s">
        <v>24</v>
      </c>
      <c r="B13" s="5" t="n">
        <v>2</v>
      </c>
      <c r="C13" s="6" t="n">
        <v>150</v>
      </c>
      <c r="D13" s="6" t="n">
        <f aca="false">B13*C13</f>
        <v>300</v>
      </c>
      <c r="E13" s="7" t="s">
        <v>25</v>
      </c>
      <c r="F13" s="8"/>
    </row>
    <row r="14" customFormat="false" ht="15" hidden="false" customHeight="false" outlineLevel="0" collapsed="false">
      <c r="A14" s="4" t="s">
        <v>26</v>
      </c>
      <c r="B14" s="5" t="n">
        <v>4</v>
      </c>
      <c r="C14" s="6" t="n">
        <v>3990</v>
      </c>
      <c r="D14" s="6" t="n">
        <f aca="false">B14*C14</f>
        <v>15960</v>
      </c>
      <c r="E14" s="7" t="s">
        <v>27</v>
      </c>
      <c r="F14" s="9" t="s">
        <v>28</v>
      </c>
    </row>
    <row r="15" customFormat="false" ht="15" hidden="false" customHeight="false" outlineLevel="0" collapsed="false">
      <c r="A15" s="4" t="s">
        <v>29</v>
      </c>
      <c r="B15" s="5" t="n">
        <v>2</v>
      </c>
      <c r="C15" s="6" t="n">
        <v>120</v>
      </c>
      <c r="D15" s="6" t="n">
        <f aca="false">B15*C15</f>
        <v>240</v>
      </c>
      <c r="E15" s="7" t="s">
        <v>30</v>
      </c>
      <c r="F15" s="9" t="s">
        <v>31</v>
      </c>
    </row>
    <row r="16" customFormat="false" ht="15" hidden="false" customHeight="false" outlineLevel="0" collapsed="false">
      <c r="A16" s="4" t="s">
        <v>32</v>
      </c>
      <c r="B16" s="5" t="n">
        <v>2</v>
      </c>
      <c r="C16" s="6" t="n">
        <v>68</v>
      </c>
      <c r="D16" s="6" t="n">
        <f aca="false">B16*C16</f>
        <v>136</v>
      </c>
      <c r="E16" s="7" t="s">
        <v>33</v>
      </c>
      <c r="F16" s="9" t="s">
        <v>34</v>
      </c>
    </row>
    <row r="17" customFormat="false" ht="15" hidden="false" customHeight="false" outlineLevel="0" collapsed="false">
      <c r="A17" s="4" t="s">
        <v>35</v>
      </c>
      <c r="B17" s="5" t="n">
        <v>10</v>
      </c>
      <c r="C17" s="6" t="n">
        <v>850</v>
      </c>
      <c r="D17" s="6" t="n">
        <f aca="false">B17*C17</f>
        <v>8500</v>
      </c>
      <c r="E17" s="7" t="s">
        <v>36</v>
      </c>
      <c r="F17" s="9" t="s">
        <v>37</v>
      </c>
    </row>
    <row r="18" customFormat="false" ht="15" hidden="false" customHeight="false" outlineLevel="0" collapsed="false">
      <c r="A18" s="4" t="s">
        <v>38</v>
      </c>
      <c r="B18" s="5" t="n">
        <v>2</v>
      </c>
      <c r="C18" s="6" t="n">
        <v>1150</v>
      </c>
      <c r="D18" s="6" t="n">
        <f aca="false">B18*C18</f>
        <v>2300</v>
      </c>
      <c r="E18" s="7" t="s">
        <v>39</v>
      </c>
      <c r="F18" s="9" t="s">
        <v>40</v>
      </c>
    </row>
    <row r="19" customFormat="false" ht="15" hidden="false" customHeight="false" outlineLevel="0" collapsed="false">
      <c r="A19" s="4" t="s">
        <v>41</v>
      </c>
      <c r="B19" s="5" t="n">
        <v>3</v>
      </c>
      <c r="C19" s="6" t="n">
        <v>67</v>
      </c>
      <c r="D19" s="6" t="n">
        <f aca="false">B19*C19</f>
        <v>201</v>
      </c>
      <c r="E19" s="7" t="s">
        <v>42</v>
      </c>
      <c r="F19" s="9" t="s">
        <v>43</v>
      </c>
    </row>
    <row r="20" customFormat="false" ht="15" hidden="false" customHeight="false" outlineLevel="0" collapsed="false">
      <c r="A20" s="4" t="s">
        <v>44</v>
      </c>
      <c r="B20" s="5" t="n">
        <v>12</v>
      </c>
      <c r="C20" s="6" t="n">
        <v>70</v>
      </c>
      <c r="D20" s="6" t="n">
        <f aca="false">B20*C20</f>
        <v>840</v>
      </c>
      <c r="E20" s="7" t="s">
        <v>45</v>
      </c>
      <c r="F20" s="8"/>
    </row>
    <row r="21" customFormat="false" ht="15" hidden="false" customHeight="false" outlineLevel="0" collapsed="false">
      <c r="A21" s="4" t="s">
        <v>46</v>
      </c>
      <c r="B21" s="5" t="n">
        <v>2</v>
      </c>
      <c r="C21" s="6" t="n">
        <v>150</v>
      </c>
      <c r="D21" s="6" t="n">
        <f aca="false">B21*C21</f>
        <v>300</v>
      </c>
      <c r="E21" s="7" t="s">
        <v>47</v>
      </c>
      <c r="F21" s="9" t="s">
        <v>48</v>
      </c>
    </row>
    <row r="22" customFormat="false" ht="15" hidden="false" customHeight="false" outlineLevel="0" collapsed="false">
      <c r="A22" s="4" t="s">
        <v>49</v>
      </c>
      <c r="B22" s="5" t="n">
        <v>2</v>
      </c>
      <c r="C22" s="6" t="n">
        <v>5</v>
      </c>
      <c r="D22" s="6" t="n">
        <f aca="false">B22*C22</f>
        <v>10</v>
      </c>
      <c r="E22" s="7" t="s">
        <v>50</v>
      </c>
      <c r="F22" s="9" t="s">
        <v>51</v>
      </c>
    </row>
    <row r="23" customFormat="false" ht="15" hidden="false" customHeight="false" outlineLevel="0" collapsed="false">
      <c r="A23" s="4" t="s">
        <v>52</v>
      </c>
      <c r="B23" s="5" t="n">
        <v>2</v>
      </c>
      <c r="C23" s="6" t="n">
        <v>2316</v>
      </c>
      <c r="D23" s="6" t="n">
        <f aca="false">B23*C23</f>
        <v>4632</v>
      </c>
      <c r="E23" s="7" t="s">
        <v>53</v>
      </c>
      <c r="F23" s="8"/>
    </row>
    <row r="24" customFormat="false" ht="15" hidden="false" customHeight="false" outlineLevel="0" collapsed="false">
      <c r="A24" s="4" t="s">
        <v>54</v>
      </c>
      <c r="B24" s="5" t="n">
        <v>4</v>
      </c>
      <c r="C24" s="6" t="n">
        <v>250</v>
      </c>
      <c r="D24" s="6" t="n">
        <f aca="false">B24*C24</f>
        <v>1000</v>
      </c>
      <c r="E24" s="7" t="s">
        <v>55</v>
      </c>
      <c r="F24" s="8"/>
    </row>
    <row r="25" customFormat="false" ht="15" hidden="false" customHeight="false" outlineLevel="0" collapsed="false">
      <c r="A25" s="4" t="s">
        <v>56</v>
      </c>
      <c r="B25" s="5" t="n">
        <v>3</v>
      </c>
      <c r="C25" s="6" t="n">
        <v>45</v>
      </c>
      <c r="D25" s="6" t="n">
        <f aca="false">B25*C25</f>
        <v>135</v>
      </c>
      <c r="E25" s="7" t="s">
        <v>57</v>
      </c>
      <c r="F25" s="9" t="s">
        <v>58</v>
      </c>
    </row>
    <row r="26" customFormat="false" ht="15" hidden="false" customHeight="false" outlineLevel="0" collapsed="false">
      <c r="A26" s="4" t="s">
        <v>59</v>
      </c>
      <c r="B26" s="5" t="n">
        <v>4</v>
      </c>
      <c r="C26" s="6" t="n">
        <v>56</v>
      </c>
      <c r="D26" s="6" t="n">
        <f aca="false">B26*C26</f>
        <v>224</v>
      </c>
      <c r="E26" s="7" t="s">
        <v>60</v>
      </c>
      <c r="F26" s="8"/>
    </row>
    <row r="27" customFormat="false" ht="15" hidden="false" customHeight="false" outlineLevel="0" collapsed="false">
      <c r="A27" s="4" t="s">
        <v>61</v>
      </c>
      <c r="B27" s="5" t="n">
        <v>22</v>
      </c>
      <c r="C27" s="6" t="n">
        <v>1180</v>
      </c>
      <c r="D27" s="6" t="n">
        <f aca="false">B27*C27</f>
        <v>25960</v>
      </c>
      <c r="E27" s="7" t="s">
        <v>62</v>
      </c>
      <c r="F27" s="8"/>
    </row>
    <row r="28" customFormat="false" ht="15" hidden="false" customHeight="false" outlineLevel="0" collapsed="false">
      <c r="A28" s="4" t="s">
        <v>63</v>
      </c>
      <c r="B28" s="5" t="n">
        <v>3</v>
      </c>
      <c r="C28" s="6" t="n">
        <v>4500</v>
      </c>
      <c r="D28" s="6" t="n">
        <f aca="false">B28*C28</f>
        <v>13500</v>
      </c>
      <c r="E28" s="7" t="s">
        <v>64</v>
      </c>
      <c r="F28" s="9" t="s">
        <v>65</v>
      </c>
    </row>
    <row r="29" customFormat="false" ht="15" hidden="false" customHeight="false" outlineLevel="0" collapsed="false">
      <c r="A29" s="4" t="s">
        <v>66</v>
      </c>
      <c r="B29" s="5" t="n">
        <v>10</v>
      </c>
      <c r="C29" s="6" t="n">
        <v>400</v>
      </c>
      <c r="D29" s="6" t="n">
        <f aca="false">B29*C29</f>
        <v>4000</v>
      </c>
      <c r="E29" s="7" t="s">
        <v>67</v>
      </c>
      <c r="F29" s="8"/>
    </row>
    <row r="30" customFormat="false" ht="15" hidden="false" customHeight="false" outlineLevel="0" collapsed="false">
      <c r="A30" s="4" t="s">
        <v>68</v>
      </c>
      <c r="B30" s="5" t="n">
        <v>26</v>
      </c>
      <c r="C30" s="6" t="n">
        <v>33</v>
      </c>
      <c r="D30" s="6" t="n">
        <f aca="false">B30*C30</f>
        <v>858</v>
      </c>
      <c r="E30" s="7" t="s">
        <v>69</v>
      </c>
      <c r="F30" s="9" t="s">
        <v>70</v>
      </c>
    </row>
    <row r="31" customFormat="false" ht="15" hidden="false" customHeight="false" outlineLevel="0" collapsed="false">
      <c r="A31" s="4" t="s">
        <v>71</v>
      </c>
      <c r="B31" s="5" t="n">
        <v>12</v>
      </c>
      <c r="C31" s="6" t="n">
        <v>65</v>
      </c>
      <c r="D31" s="6" t="n">
        <f aca="false">B31*C31</f>
        <v>780</v>
      </c>
      <c r="E31" s="7" t="s">
        <v>72</v>
      </c>
      <c r="F31" s="9" t="s">
        <v>73</v>
      </c>
    </row>
    <row r="32" customFormat="false" ht="15" hidden="false" customHeight="false" outlineLevel="0" collapsed="false">
      <c r="A32" s="4" t="s">
        <v>74</v>
      </c>
      <c r="B32" s="5" t="n">
        <v>12</v>
      </c>
      <c r="C32" s="6" t="n">
        <v>118</v>
      </c>
      <c r="D32" s="6" t="n">
        <f aca="false">B32*C32</f>
        <v>1416</v>
      </c>
      <c r="E32" s="7" t="s">
        <v>75</v>
      </c>
      <c r="F32" s="8"/>
    </row>
    <row r="33" customFormat="false" ht="15" hidden="false" customHeight="false" outlineLevel="0" collapsed="false">
      <c r="A33" s="4" t="s">
        <v>76</v>
      </c>
      <c r="B33" s="5" t="n">
        <v>12</v>
      </c>
      <c r="C33" s="6" t="n">
        <v>58</v>
      </c>
      <c r="D33" s="6" t="n">
        <f aca="false">B33*C33</f>
        <v>696</v>
      </c>
      <c r="E33" s="7" t="s">
        <v>77</v>
      </c>
      <c r="F33" s="8"/>
    </row>
    <row r="34" customFormat="false" ht="15" hidden="false" customHeight="false" outlineLevel="0" collapsed="false">
      <c r="A34" s="4" t="s">
        <v>78</v>
      </c>
      <c r="B34" s="5" t="n">
        <v>4</v>
      </c>
      <c r="C34" s="6" t="n">
        <v>238</v>
      </c>
      <c r="D34" s="6" t="n">
        <f aca="false">B34*C34</f>
        <v>952</v>
      </c>
      <c r="E34" s="7" t="s">
        <v>79</v>
      </c>
      <c r="F34" s="8"/>
    </row>
    <row r="35" customFormat="false" ht="15" hidden="false" customHeight="false" outlineLevel="0" collapsed="false">
      <c r="A35" s="4" t="s">
        <v>80</v>
      </c>
      <c r="B35" s="5" t="n">
        <v>4</v>
      </c>
      <c r="C35" s="6" t="n">
        <v>180</v>
      </c>
      <c r="D35" s="6" t="n">
        <f aca="false">B35*C35</f>
        <v>720</v>
      </c>
      <c r="E35" s="7" t="s">
        <v>81</v>
      </c>
      <c r="F35" s="9" t="s">
        <v>82</v>
      </c>
    </row>
    <row r="36" customFormat="false" ht="15" hidden="false" customHeight="false" outlineLevel="0" collapsed="false">
      <c r="A36" s="4" t="s">
        <v>83</v>
      </c>
      <c r="B36" s="5" t="n">
        <v>4</v>
      </c>
      <c r="C36" s="6" t="n">
        <v>503</v>
      </c>
      <c r="D36" s="6" t="n">
        <f aca="false">B36*C36</f>
        <v>2012</v>
      </c>
      <c r="E36" s="7" t="s">
        <v>84</v>
      </c>
      <c r="F36" s="8"/>
    </row>
    <row r="37" customFormat="false" ht="15" hidden="false" customHeight="false" outlineLevel="0" collapsed="false">
      <c r="A37" s="4" t="s">
        <v>85</v>
      </c>
      <c r="B37" s="5" t="n">
        <v>4</v>
      </c>
      <c r="C37" s="6" t="n">
        <v>71</v>
      </c>
      <c r="D37" s="6" t="n">
        <f aca="false">B37*C37</f>
        <v>284</v>
      </c>
      <c r="E37" s="7" t="s">
        <v>86</v>
      </c>
      <c r="F37" s="8"/>
    </row>
    <row r="38" customFormat="false" ht="15" hidden="false" customHeight="false" outlineLevel="0" collapsed="false">
      <c r="A38" s="4" t="s">
        <v>87</v>
      </c>
      <c r="B38" s="5" t="n">
        <v>4</v>
      </c>
      <c r="C38" s="6" t="n">
        <v>57</v>
      </c>
      <c r="D38" s="6" t="n">
        <f aca="false">B38*C38</f>
        <v>228</v>
      </c>
      <c r="E38" s="7" t="s">
        <v>88</v>
      </c>
      <c r="F38" s="9" t="s">
        <v>89</v>
      </c>
    </row>
    <row r="39" customFormat="false" ht="15" hidden="false" customHeight="false" outlineLevel="0" collapsed="false">
      <c r="A39" s="4" t="s">
        <v>90</v>
      </c>
      <c r="B39" s="5" t="n">
        <v>10</v>
      </c>
      <c r="C39" s="6" t="n">
        <v>200</v>
      </c>
      <c r="D39" s="6" t="n">
        <f aca="false">B39*C39</f>
        <v>2000</v>
      </c>
      <c r="E39" s="7" t="s">
        <v>91</v>
      </c>
      <c r="F39" s="9" t="s">
        <v>92</v>
      </c>
    </row>
    <row r="40" customFormat="false" ht="15" hidden="false" customHeight="false" outlineLevel="0" collapsed="false">
      <c r="A40" s="4" t="s">
        <v>93</v>
      </c>
      <c r="B40" s="5" t="n">
        <v>2</v>
      </c>
      <c r="C40" s="6" t="n">
        <v>263</v>
      </c>
      <c r="D40" s="6" t="n">
        <f aca="false">B40*C40</f>
        <v>526</v>
      </c>
      <c r="E40" s="7" t="s">
        <v>94</v>
      </c>
      <c r="F40" s="8"/>
    </row>
    <row r="41" customFormat="false" ht="15" hidden="false" customHeight="false" outlineLevel="0" collapsed="false">
      <c r="A41" s="4" t="s">
        <v>95</v>
      </c>
      <c r="B41" s="5" t="n">
        <v>2</v>
      </c>
      <c r="C41" s="6" t="n">
        <v>1250</v>
      </c>
      <c r="D41" s="6" t="n">
        <f aca="false">B41*C41</f>
        <v>2500</v>
      </c>
      <c r="E41" s="7" t="s">
        <v>96</v>
      </c>
      <c r="F41" s="9" t="s">
        <v>97</v>
      </c>
    </row>
    <row r="42" customFormat="false" ht="15" hidden="false" customHeight="false" outlineLevel="0" collapsed="false">
      <c r="A42" s="4" t="s">
        <v>98</v>
      </c>
      <c r="B42" s="5" t="n">
        <v>4</v>
      </c>
      <c r="C42" s="6" t="n">
        <v>2000</v>
      </c>
      <c r="D42" s="6" t="n">
        <f aca="false">B42*C42</f>
        <v>8000</v>
      </c>
      <c r="E42" s="7" t="s">
        <v>99</v>
      </c>
      <c r="F42" s="9" t="s">
        <v>100</v>
      </c>
    </row>
    <row r="43" customFormat="false" ht="15" hidden="false" customHeight="false" outlineLevel="0" collapsed="false">
      <c r="A43" s="4" t="s">
        <v>101</v>
      </c>
      <c r="B43" s="5" t="n">
        <v>4</v>
      </c>
      <c r="C43" s="6" t="n">
        <v>850</v>
      </c>
      <c r="D43" s="6" t="n">
        <f aca="false">B43*C43</f>
        <v>3400</v>
      </c>
      <c r="E43" s="7" t="s">
        <v>102</v>
      </c>
      <c r="F43" s="9" t="s">
        <v>103</v>
      </c>
    </row>
    <row r="44" customFormat="false" ht="15" hidden="false" customHeight="false" outlineLevel="0" collapsed="false">
      <c r="A44" s="4" t="s">
        <v>104</v>
      </c>
      <c r="B44" s="5" t="n">
        <v>2</v>
      </c>
      <c r="C44" s="6" t="n">
        <v>147</v>
      </c>
      <c r="D44" s="6" t="n">
        <f aca="false">B44*C44</f>
        <v>294</v>
      </c>
      <c r="E44" s="7" t="s">
        <v>105</v>
      </c>
      <c r="F44" s="8"/>
    </row>
    <row r="45" customFormat="false" ht="15" hidden="false" customHeight="false" outlineLevel="0" collapsed="false">
      <c r="A45" s="4" t="s">
        <v>106</v>
      </c>
      <c r="B45" s="5" t="n">
        <v>2</v>
      </c>
      <c r="C45" s="6" t="n">
        <v>1680</v>
      </c>
      <c r="D45" s="6" t="n">
        <f aca="false">B45*C45</f>
        <v>3360</v>
      </c>
      <c r="E45" s="7" t="s">
        <v>107</v>
      </c>
      <c r="F45" s="9" t="s">
        <v>108</v>
      </c>
    </row>
    <row r="46" customFormat="false" ht="15" hidden="false" customHeight="false" outlineLevel="0" collapsed="false">
      <c r="A46" s="4" t="s">
        <v>109</v>
      </c>
      <c r="B46" s="5" t="n">
        <v>2</v>
      </c>
      <c r="C46" s="6" t="n">
        <v>83</v>
      </c>
      <c r="D46" s="6" t="n">
        <f aca="false">B46*C46</f>
        <v>166</v>
      </c>
      <c r="E46" s="7" t="s">
        <v>110</v>
      </c>
      <c r="F46" s="8"/>
    </row>
    <row r="47" customFormat="false" ht="15" hidden="false" customHeight="false" outlineLevel="0" collapsed="false">
      <c r="A47" s="4" t="s">
        <v>111</v>
      </c>
      <c r="B47" s="5" t="n">
        <v>2</v>
      </c>
      <c r="C47" s="6" t="n">
        <v>20</v>
      </c>
      <c r="D47" s="6" t="n">
        <f aca="false">B47*C47</f>
        <v>40</v>
      </c>
      <c r="E47" s="7" t="s">
        <v>112</v>
      </c>
      <c r="F47" s="8"/>
    </row>
    <row r="48" customFormat="false" ht="15" hidden="false" customHeight="false" outlineLevel="0" collapsed="false">
      <c r="A48" s="4" t="s">
        <v>113</v>
      </c>
      <c r="B48" s="5" t="n">
        <v>12</v>
      </c>
      <c r="C48" s="6" t="n">
        <v>740</v>
      </c>
      <c r="D48" s="6" t="n">
        <f aca="false">B48*C48</f>
        <v>8880</v>
      </c>
      <c r="E48" s="7" t="s">
        <v>114</v>
      </c>
      <c r="F48" s="8"/>
    </row>
    <row r="49" customFormat="false" ht="15" hidden="false" customHeight="false" outlineLevel="0" collapsed="false">
      <c r="A49" s="4" t="s">
        <v>115</v>
      </c>
      <c r="B49" s="5" t="n">
        <v>12</v>
      </c>
      <c r="C49" s="6" t="n">
        <v>3000</v>
      </c>
      <c r="D49" s="6" t="n">
        <f aca="false">B49*C49</f>
        <v>36000</v>
      </c>
      <c r="E49" s="7" t="s">
        <v>116</v>
      </c>
      <c r="F49" s="9" t="s">
        <v>117</v>
      </c>
    </row>
    <row r="50" customFormat="false" ht="15" hidden="false" customHeight="false" outlineLevel="0" collapsed="false">
      <c r="A50" s="4" t="s">
        <v>118</v>
      </c>
      <c r="B50" s="5" t="n">
        <v>12</v>
      </c>
      <c r="C50" s="6" t="n">
        <v>130</v>
      </c>
      <c r="D50" s="6" t="n">
        <f aca="false">B50*C50</f>
        <v>1560</v>
      </c>
      <c r="E50" s="7" t="s">
        <v>119</v>
      </c>
      <c r="F50" s="9" t="s">
        <v>120</v>
      </c>
    </row>
    <row r="51" customFormat="false" ht="15" hidden="false" customHeight="false" outlineLevel="0" collapsed="false">
      <c r="A51" s="4" t="s">
        <v>121</v>
      </c>
      <c r="B51" s="5" t="n">
        <v>6</v>
      </c>
      <c r="C51" s="6" t="n">
        <v>99</v>
      </c>
      <c r="D51" s="6" t="n">
        <f aca="false">B51*C51</f>
        <v>594</v>
      </c>
      <c r="E51" s="7" t="s">
        <v>122</v>
      </c>
      <c r="F51" s="8"/>
    </row>
    <row r="52" customFormat="false" ht="15" hidden="false" customHeight="false" outlineLevel="0" collapsed="false">
      <c r="A52" s="4" t="s">
        <v>123</v>
      </c>
      <c r="B52" s="5" t="n">
        <v>3</v>
      </c>
      <c r="C52" s="6" t="n">
        <v>69</v>
      </c>
      <c r="D52" s="6" t="n">
        <f aca="false">B52*C52</f>
        <v>207</v>
      </c>
      <c r="E52" s="7" t="s">
        <v>124</v>
      </c>
      <c r="F52" s="8"/>
    </row>
    <row r="53" customFormat="false" ht="15" hidden="false" customHeight="false" outlineLevel="0" collapsed="false">
      <c r="A53" s="4" t="s">
        <v>125</v>
      </c>
      <c r="B53" s="5" t="n">
        <v>3</v>
      </c>
      <c r="C53" s="6" t="n">
        <v>150</v>
      </c>
      <c r="D53" s="6" t="n">
        <f aca="false">B53*C53</f>
        <v>450</v>
      </c>
      <c r="E53" s="7" t="s">
        <v>126</v>
      </c>
      <c r="F53" s="9" t="s">
        <v>127</v>
      </c>
    </row>
    <row r="54" customFormat="false" ht="15" hidden="false" customHeight="false" outlineLevel="0" collapsed="false">
      <c r="A54" s="4" t="s">
        <v>128</v>
      </c>
      <c r="B54" s="5" t="n">
        <v>2</v>
      </c>
      <c r="C54" s="6" t="n">
        <v>1200</v>
      </c>
      <c r="D54" s="6" t="n">
        <f aca="false">B54*C54</f>
        <v>2400</v>
      </c>
      <c r="E54" s="7" t="s">
        <v>129</v>
      </c>
      <c r="F54" s="9" t="s">
        <v>130</v>
      </c>
    </row>
    <row r="55" customFormat="false" ht="15" hidden="false" customHeight="false" outlineLevel="0" collapsed="false">
      <c r="A55" s="4" t="s">
        <v>131</v>
      </c>
      <c r="B55" s="5" t="n">
        <v>8</v>
      </c>
      <c r="C55" s="6" t="n">
        <v>1100</v>
      </c>
      <c r="D55" s="6" t="n">
        <f aca="false">B55*C55</f>
        <v>8800</v>
      </c>
      <c r="E55" s="7" t="s">
        <v>132</v>
      </c>
      <c r="F55" s="8"/>
    </row>
    <row r="56" customFormat="false" ht="15" hidden="false" customHeight="false" outlineLevel="0" collapsed="false">
      <c r="A56" s="4" t="s">
        <v>133</v>
      </c>
      <c r="B56" s="5" t="n">
        <v>6</v>
      </c>
      <c r="C56" s="6" t="n">
        <v>1100</v>
      </c>
      <c r="D56" s="6" t="n">
        <f aca="false">B56*C56</f>
        <v>6600</v>
      </c>
      <c r="E56" s="7" t="s">
        <v>134</v>
      </c>
      <c r="F56" s="9" t="s">
        <v>135</v>
      </c>
    </row>
    <row r="57" customFormat="false" ht="15" hidden="false" customHeight="false" outlineLevel="0" collapsed="false">
      <c r="A57" s="4" t="s">
        <v>136</v>
      </c>
      <c r="B57" s="5" t="n">
        <v>13</v>
      </c>
      <c r="C57" s="6" t="n">
        <v>25</v>
      </c>
      <c r="D57" s="6" t="n">
        <f aca="false">B57*C57</f>
        <v>325</v>
      </c>
      <c r="E57" s="7" t="s">
        <v>137</v>
      </c>
      <c r="F57" s="8"/>
    </row>
    <row r="58" customFormat="false" ht="15" hidden="false" customHeight="false" outlineLevel="0" collapsed="false">
      <c r="A58" s="4" t="s">
        <v>138</v>
      </c>
      <c r="B58" s="5" t="n">
        <v>5</v>
      </c>
      <c r="C58" s="6" t="n">
        <v>250</v>
      </c>
      <c r="D58" s="6" t="n">
        <f aca="false">B58*C58</f>
        <v>1250</v>
      </c>
      <c r="E58" s="7" t="s">
        <v>139</v>
      </c>
      <c r="F58" s="9" t="s">
        <v>140</v>
      </c>
    </row>
    <row r="59" customFormat="false" ht="15" hidden="false" customHeight="false" outlineLevel="0" collapsed="false">
      <c r="A59" s="4" t="s">
        <v>141</v>
      </c>
      <c r="B59" s="5" t="n">
        <v>7</v>
      </c>
      <c r="C59" s="6" t="n">
        <v>400</v>
      </c>
      <c r="D59" s="6" t="n">
        <f aca="false">B59*C59</f>
        <v>2800</v>
      </c>
      <c r="E59" s="7" t="s">
        <v>142</v>
      </c>
      <c r="F59" s="8"/>
    </row>
    <row r="60" customFormat="false" ht="15" hidden="false" customHeight="false" outlineLevel="0" collapsed="false">
      <c r="A60" s="4" t="s">
        <v>143</v>
      </c>
      <c r="B60" s="5" t="n">
        <v>2</v>
      </c>
      <c r="C60" s="6" t="n">
        <v>450</v>
      </c>
      <c r="D60" s="6" t="n">
        <f aca="false">B60*C60</f>
        <v>900</v>
      </c>
      <c r="E60" s="7" t="s">
        <v>144</v>
      </c>
      <c r="F60" s="8"/>
    </row>
    <row r="61" customFormat="false" ht="15" hidden="false" customHeight="false" outlineLevel="0" collapsed="false">
      <c r="A61" s="4" t="s">
        <v>145</v>
      </c>
      <c r="B61" s="5" t="n">
        <v>4</v>
      </c>
      <c r="C61" s="6" t="n">
        <v>90</v>
      </c>
      <c r="D61" s="6" t="n">
        <f aca="false">B61*C61</f>
        <v>360</v>
      </c>
      <c r="E61" s="7" t="s">
        <v>146</v>
      </c>
      <c r="F61" s="8"/>
    </row>
    <row r="62" customFormat="false" ht="15" hidden="false" customHeight="false" outlineLevel="0" collapsed="false">
      <c r="A62" s="4" t="s">
        <v>147</v>
      </c>
      <c r="B62" s="5" t="n">
        <v>2</v>
      </c>
      <c r="C62" s="6" t="n">
        <v>170</v>
      </c>
      <c r="D62" s="6" t="n">
        <f aca="false">B62*C62</f>
        <v>340</v>
      </c>
      <c r="E62" s="7" t="s">
        <v>148</v>
      </c>
      <c r="F62" s="9" t="s">
        <v>149</v>
      </c>
    </row>
    <row r="63" customFormat="false" ht="15" hidden="false" customHeight="false" outlineLevel="0" collapsed="false">
      <c r="A63" s="4" t="s">
        <v>150</v>
      </c>
      <c r="B63" s="5" t="n">
        <v>4</v>
      </c>
      <c r="C63" s="6" t="n">
        <v>175</v>
      </c>
      <c r="D63" s="6" t="n">
        <f aca="false">B63*C63</f>
        <v>700</v>
      </c>
      <c r="E63" s="7" t="s">
        <v>151</v>
      </c>
      <c r="F63" s="9" t="s">
        <v>152</v>
      </c>
    </row>
    <row r="64" customFormat="false" ht="15" hidden="false" customHeight="false" outlineLevel="0" collapsed="false">
      <c r="A64" s="4" t="s">
        <v>153</v>
      </c>
      <c r="B64" s="5" t="n">
        <v>2</v>
      </c>
      <c r="C64" s="6" t="n">
        <v>70</v>
      </c>
      <c r="D64" s="6" t="n">
        <f aca="false">B64*C64</f>
        <v>140</v>
      </c>
      <c r="E64" s="7" t="s">
        <v>154</v>
      </c>
      <c r="F64" s="9" t="s">
        <v>155</v>
      </c>
    </row>
    <row r="65" customFormat="false" ht="15" hidden="false" customHeight="false" outlineLevel="0" collapsed="false">
      <c r="A65" s="4" t="s">
        <v>156</v>
      </c>
      <c r="B65" s="5" t="n">
        <v>3</v>
      </c>
      <c r="C65" s="6" t="n">
        <v>35</v>
      </c>
      <c r="D65" s="6" t="n">
        <f aca="false">B65*C65</f>
        <v>105</v>
      </c>
      <c r="E65" s="7" t="s">
        <v>157</v>
      </c>
      <c r="F65" s="9" t="s">
        <v>158</v>
      </c>
    </row>
    <row r="66" customFormat="false" ht="15" hidden="false" customHeight="false" outlineLevel="0" collapsed="false">
      <c r="A66" s="4" t="s">
        <v>159</v>
      </c>
      <c r="B66" s="5" t="n">
        <v>4</v>
      </c>
      <c r="C66" s="6" t="n">
        <v>6</v>
      </c>
      <c r="D66" s="6" t="n">
        <f aca="false">B66*C66</f>
        <v>24</v>
      </c>
      <c r="E66" s="7" t="s">
        <v>160</v>
      </c>
      <c r="F66" s="9" t="s">
        <v>161</v>
      </c>
    </row>
    <row r="67" customFormat="false" ht="15" hidden="false" customHeight="false" outlineLevel="0" collapsed="false">
      <c r="A67" s="4" t="s">
        <v>162</v>
      </c>
      <c r="B67" s="5" t="n">
        <v>2</v>
      </c>
      <c r="C67" s="6" t="n">
        <v>10</v>
      </c>
      <c r="D67" s="6" t="n">
        <f aca="false">B67*C67</f>
        <v>20</v>
      </c>
      <c r="E67" s="7" t="s">
        <v>163</v>
      </c>
      <c r="F67" s="9" t="s">
        <v>164</v>
      </c>
    </row>
    <row r="68" customFormat="false" ht="15" hidden="false" customHeight="false" outlineLevel="0" collapsed="false">
      <c r="A68" s="4" t="s">
        <v>165</v>
      </c>
      <c r="B68" s="5" t="n">
        <v>2</v>
      </c>
      <c r="C68" s="6" t="n">
        <v>9</v>
      </c>
      <c r="D68" s="6" t="n">
        <f aca="false">B68*C68</f>
        <v>18</v>
      </c>
      <c r="E68" s="7" t="s">
        <v>166</v>
      </c>
      <c r="F68" s="9" t="s">
        <v>158</v>
      </c>
    </row>
    <row r="70" customFormat="false" ht="15" hidden="false" customHeight="false" outlineLevel="0" collapsed="false">
      <c r="A70" s="10" t="s">
        <v>167</v>
      </c>
      <c r="B70" s="10" t="n">
        <f aca="false">SUM(B5:B68)</f>
        <v>354</v>
      </c>
      <c r="D70" s="11" t="n">
        <f aca="false">SUM(D5:D68)</f>
        <v>187626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2026-07-24T12:57:41Z</dcterms:created>
  <dc:creator>openpyxl</dc:creator>
  <dc:description/>
  <dc:language>en-US</dc:language>
  <cp:lastModifiedBy/>
  <dcterms:modified xsi:type="dcterms:W3CDTF">2026-07-24T12:57:41Z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